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6080313\Downloads\Entri_DA\"/>
    </mc:Choice>
  </mc:AlternateContent>
  <xr:revisionPtr revIDLastSave="0" documentId="13_ncr:1_{FFAD6C5D-8E63-4A9E-B622-BE0C02A9326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roduct_Dataset" sheetId="1" r:id="rId1"/>
    <sheet name="Task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J2" i="1"/>
  <c r="D5" i="2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D11" i="2"/>
  <c r="D10" i="2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D8" i="2"/>
  <c r="D7" i="2"/>
  <c r="D6" i="2"/>
  <c r="D4" i="2"/>
</calcChain>
</file>

<file path=xl/sharedStrings.xml><?xml version="1.0" encoding="utf-8"?>
<sst xmlns="http://schemas.openxmlformats.org/spreadsheetml/2006/main" count="172" uniqueCount="123">
  <si>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</si>
  <si>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</si>
  <si>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</si>
  <si>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</si>
  <si>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</si>
  <si>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</si>
  <si>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</si>
  <si>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</si>
  <si>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</si>
  <si>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</si>
  <si>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</si>
  <si>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</si>
  <si>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</si>
  <si>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</si>
  <si>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</si>
  <si>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</si>
  <si>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</si>
  <si>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</si>
  <si>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</si>
  <si>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</si>
  <si>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</si>
  <si>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</si>
  <si>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</si>
  <si>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</si>
  <si>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</si>
  <si>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</si>
  <si>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</si>
  <si>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</si>
  <si>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</si>
  <si>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</si>
  <si>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</si>
  <si>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</si>
  <si>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</si>
  <si>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</si>
  <si>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</si>
  <si>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</si>
  <si>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</si>
  <si>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</si>
  <si>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</si>
  <si>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</si>
  <si>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</si>
  <si>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</si>
  <si>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</si>
  <si>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</si>
  <si>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</si>
  <si>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</si>
  <si>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</si>
  <si>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</si>
  <si>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</si>
  <si>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</si>
  <si>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</si>
  <si>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</si>
  <si>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</si>
  <si>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</si>
  <si>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</si>
  <si>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</si>
  <si>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</si>
  <si>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</si>
  <si>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</si>
  <si>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</si>
  <si>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</si>
  <si>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</si>
  <si>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</si>
  <si>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</si>
  <si>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</si>
  <si>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</si>
  <si>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</si>
  <si>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</si>
  <si>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</si>
  <si>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</si>
  <si>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</si>
  <si>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</si>
  <si>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</si>
  <si>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</si>
  <si>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</si>
  <si>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</si>
  <si>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</si>
  <si>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</si>
  <si>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</si>
  <si>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</si>
  <si>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</si>
  <si>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</si>
  <si>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</si>
  <si>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</si>
  <si>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</si>
  <si>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</si>
  <si>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</si>
  <si>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</si>
  <si>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</si>
  <si>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</si>
  <si>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</si>
  <si>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</si>
  <si>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</si>
  <si>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Basic Data Exploration</t>
  </si>
  <si>
    <t>Sum, Count, and Average</t>
  </si>
  <si>
    <t>Sum</t>
  </si>
  <si>
    <t>Calculate the total price of all products in the dataset.</t>
  </si>
  <si>
    <t>Count</t>
  </si>
  <si>
    <t>Determine how many products exist in the dataset.</t>
  </si>
  <si>
    <t>Average</t>
  </si>
  <si>
    <t>Calculate the average price of the products.</t>
  </si>
  <si>
    <t>Minimum and Maximum Values</t>
  </si>
  <si>
    <t>Identify the minimum price among all products.</t>
  </si>
  <si>
    <t>Identify the maximum price among all products.</t>
  </si>
  <si>
    <t>Logical Function – IF</t>
  </si>
  <si>
    <t>Price Range</t>
  </si>
  <si>
    <t>Column G</t>
  </si>
  <si>
    <t>Conditional Functions – SUMIF and COUNTIF</t>
  </si>
  <si>
    <t>Use the SUMIF function to calculate the total price of products in the Electronics category.</t>
  </si>
  <si>
    <t>Use the COUNTIF function to determine the number of products with a price less than $100.</t>
  </si>
  <si>
    <t>Text Formatting – LEFT, RIGHT, MID</t>
  </si>
  <si>
    <t>Create a new column named Day with the first 2 characters of each 'Product ID' using the LEFT function.</t>
  </si>
  <si>
    <t>Day</t>
  </si>
  <si>
    <t>Column H</t>
  </si>
  <si>
    <t>Create a new column named Country Code by extracting the last 2 characters from the 'Product ID' column using the RIGHT function.</t>
  </si>
  <si>
    <t>Country Code</t>
  </si>
  <si>
    <t>Create a new column named Month by extracting the 4th to 6th using characters from the 'Product ID' column  the MID function.</t>
  </si>
  <si>
    <t>Column I</t>
  </si>
  <si>
    <t>Column J</t>
  </si>
  <si>
    <t>Month</t>
  </si>
  <si>
    <t>Answers</t>
  </si>
  <si>
    <t>Tasks</t>
  </si>
  <si>
    <t xml:space="preserve">Create a new column named Price Range. Use the IF function to categorize products based on their price:
○ If Price ≥ $500 → classify as High Price
○ If Price &lt; $500 → classify as Standard Price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</si>
</sst>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3">
    <xf numFmtId="0" fontId="0" fillId="0" borderId="0" xfId="0"/>
    <xf numFmtId="0" fontId="4" fillId="0" borderId="1" xfId="1" applyFont="1" applyBorder="1" applyAlignment="1">
      <alignment horizontal="center"/>
    </xf>
    <xf numFmtId="0" fontId="4" fillId="3" borderId="1" xfId="1" applyFont="1" applyFill="1" applyBorder="1" applyAlignment="1">
      <alignment horizontal="center"/>
    </xf>
    <xf numFmtId="0" fontId="4" fillId="0" borderId="2" xfId="1" applyFont="1" applyBorder="1" applyAlignment="1">
      <alignment horizontal="center"/>
    </xf>
    <xf numFmtId="0" fontId="4" fillId="3" borderId="2" xfId="1" applyFont="1" applyFill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4" fillId="3" borderId="3" xfId="1" applyFont="1" applyFill="1" applyBorder="1" applyAlignment="1">
      <alignment horizontal="center"/>
    </xf>
    <xf numFmtId="0" fontId="3" fillId="2" borderId="4" xfId="1" applyFont="1" applyFill="1" applyBorder="1" applyAlignment="1">
      <alignment horizontal="center"/>
    </xf>
    <xf numFmtId="0" fontId="3" fillId="2" borderId="5" xfId="1" applyFont="1" applyFill="1" applyBorder="1" applyAlignment="1">
      <alignment horizontal="center"/>
    </xf>
    <xf numFmtId="0" fontId="3" fillId="2" borderId="6" xfId="1" applyFont="1" applyFill="1" applyBorder="1" applyAlignment="1">
      <alignment horizontal="center"/>
    </xf>
    <xf numFmtId="0" fontId="4" fillId="3" borderId="7" xfId="1" applyFont="1" applyFill="1" applyBorder="1" applyAlignment="1">
      <alignment horizontal="center"/>
    </xf>
    <xf numFmtId="0" fontId="4" fillId="3" borderId="8" xfId="1" applyFont="1" applyFill="1" applyBorder="1" applyAlignment="1">
      <alignment horizontal="center"/>
    </xf>
    <xf numFmtId="0" fontId="4" fillId="3" borderId="9" xfId="1" applyFont="1" applyFill="1" applyBorder="1" applyAlignment="1">
      <alignment horizontal="center"/>
    </xf>
    <xf numFmtId="0" fontId="6" fillId="3" borderId="1" xfId="1" applyFont="1" applyFill="1" applyBorder="1" applyAlignment="1">
      <alignment horizontal="center"/>
    </xf>
    <xf numFmtId="0" fontId="6" fillId="3" borderId="8" xfId="1" applyFont="1" applyFill="1" applyBorder="1" applyAlignment="1">
      <alignment horizontal="center"/>
    </xf>
    <xf numFmtId="0" fontId="5" fillId="2" borderId="5" xfId="1" applyFont="1" applyFill="1" applyBorder="1" applyAlignment="1">
      <alignment horizontal="center"/>
    </xf>
    <xf numFmtId="0" fontId="5" fillId="2" borderId="6" xfId="1" applyFont="1" applyFill="1" applyBorder="1" applyAlignment="1">
      <alignment horizontal="center"/>
    </xf>
    <xf numFmtId="0" fontId="5" fillId="2" borderId="1" xfId="1" applyFont="1" applyFill="1" applyBorder="1" applyAlignment="1">
      <alignment horizontal="center"/>
    </xf>
    <xf numFmtId="0" fontId="0" fillId="0" borderId="1" xfId="0" applyBorder="1"/>
    <xf numFmtId="0" fontId="6" fillId="3" borderId="6" xfId="1" applyFont="1" applyFill="1" applyBorder="1" applyAlignment="1">
      <alignment horizontal="center"/>
    </xf>
    <xf numFmtId="0" fontId="6" fillId="3" borderId="3" xfId="1" applyFont="1" applyFill="1" applyBorder="1" applyAlignment="1">
      <alignment horizontal="center"/>
    </xf>
    <xf numFmtId="0" fontId="6" fillId="3" borderId="9" xfId="1" applyFont="1" applyFill="1" applyBorder="1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right"/>
    </xf>
    <xf numFmtId="49" fontId="0" fillId="0" borderId="0" xfId="0" applyNumberFormat="1"/>
    <xf numFmtId="0" fontId="1" fillId="0" borderId="3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0" xfId="0" applyBorder="1"/>
  </cellXfs>
  <cellStyles count="2">
    <cellStyle name="Normal" xfId="0" builtinId="0"/>
    <cellStyle name="Normal 2" xfId="1" xr:uid="{CDE0DB5D-1FC2-41FF-B124-7E4696B94177}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2AAD99-3490-4CCD-8FD5-969083131113}" name="Product_data" displayName="Product_data" ref="A1:J35" totalsRowShown="0" headerRowDxfId="14" dataDxfId="12" headerRowBorderDxfId="13" tableBorderDxfId="11" totalsRowBorderDxfId="10" headerRowCellStyle="Normal 2" dataCellStyle="Normal 2">
  <autoFilter ref="A1:J35" xr:uid="{892AAD99-3490-4CCD-8FD5-969083131113}"/>
  <tableColumns count="10">
    <tableColumn id="1" xr3:uid="{EF834E7C-D697-4D09-A4A3-CEB8D25E3B4D}" name="Product ID" dataDxfId="9" dataCellStyle="Normal 2"/>
    <tableColumn id="2" xr3:uid="{8D1BC526-2EA1-4C91-AE74-F6FB71513B2E}" name="Product Name" dataDxfId="8" dataCellStyle="Normal 2"/>
    <tableColumn id="3" xr3:uid="{D7D7716E-B1AF-46C2-AC75-1F90E51CC02F}" name="Brand Name" dataDxfId="7" dataCellStyle="Normal 2"/>
    <tableColumn id="4" xr3:uid="{0EC28B05-C8CA-49CC-9B19-99B7A87EFC3F}" name="Price ($)" dataDxfId="6" dataCellStyle="Normal 2"/>
    <tableColumn id="5" xr3:uid="{49DF33C6-3CC0-4407-BF17-44A22F52E9E9}" name="Quantity" dataDxfId="5" dataCellStyle="Normal 2"/>
    <tableColumn id="6" xr3:uid="{9783823A-FBFD-4013-BBF4-9147805539FB}" name="Category" dataDxfId="4" dataCellStyle="Normal 2"/>
    <tableColumn id="7" xr3:uid="{7B9119D0-B351-4991-B45F-419045332D49}" name="Price Range" dataDxfId="3" dataCellStyle="Normal 2">
      <calculatedColumnFormula>IF(Product_data[[#This Row],[Price ($)]]&gt;=500,"High Price","Standard Price")</calculatedColumnFormula>
    </tableColumn>
    <tableColumn id="8" xr3:uid="{D0CB41E7-200A-4536-851C-DD5B75B0356F}" name="Day" dataDxfId="2" dataCellStyle="Normal 2">
      <calculatedColumnFormula>LEFT(Product_data[[#This Row],[Product ID]],"2")</calculatedColumnFormula>
    </tableColumn>
    <tableColumn id="9" xr3:uid="{CAFC9060-9710-457C-9693-CFA5FC1857EB}" name="Country Code" dataDxfId="1" dataCellStyle="Normal 2">
      <calculatedColumnFormula>RIGHT(Product_data[[#This Row],[Product ID]],"2")</calculatedColumnFormula>
    </tableColumn>
    <tableColumn id="10" xr3:uid="{64922795-40FA-4F03-912E-7F45821D89DE}" name="Month" dataDxfId="0" dataCellStyle="Normal 2">
      <calculatedColumnFormula>MID(Product_data[[#This Row],[Product ID]],4,3)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zoomScale="81" zoomScaleNormal="81" workbookViewId="0">
      <selection activeCell="N21" sqref="N21"/>
    </sheetView>
  </sheetViews>
  <sheetFormatPr defaultRowHeight="15" x14ac:dyDescent="0.25"/>
  <cols>
    <col min="1" max="1" width="11.85546875" customWidth="1"/>
    <col min="2" max="2" width="15" customWidth="1"/>
    <col min="3" max="3" width="13.42578125" customWidth="1"/>
    <col min="4" max="4" width="10" customWidth="1"/>
    <col min="5" max="5" width="10.140625" customWidth="1"/>
    <col min="6" max="6" width="10.5703125" customWidth="1"/>
    <col min="7" max="7" width="22.7109375" bestFit="1" customWidth="1"/>
    <col min="8" max="8" width="11.5703125" bestFit="1" customWidth="1"/>
    <col min="9" max="9" width="17.28515625" style="32" bestFit="1" customWidth="1"/>
    <col min="10" max="10" width="8.7109375" style="32"/>
  </cols>
  <sheetData>
    <row r="1" spans="1:10" x14ac:dyDescent="0.2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15" t="s">
        <v>105</v>
      </c>
      <c r="H1" s="16" t="s">
        <v>112</v>
      </c>
      <c r="I1" s="17" t="s">
        <v>115</v>
      </c>
      <c r="J1" s="17" t="s">
        <v>119</v>
      </c>
    </row>
    <row r="2" spans="1:10" x14ac:dyDescent="0.25">
      <c r="A2" s="3" t="s">
        <v>6</v>
      </c>
      <c r="B2" s="1" t="s">
        <v>7</v>
      </c>
      <c r="C2" s="1" t="s">
        <v>8</v>
      </c>
      <c r="D2" s="1">
        <v>1000</v>
      </c>
      <c r="E2" s="1">
        <v>30</v>
      </c>
      <c r="F2" s="5" t="s">
        <v>9</v>
      </c>
      <c r="G2" s="13" t="str">
        <f>IF(Product_data[[#This Row],[Price ($)]]&gt;=500,"High Price","Standard Price")</f>
        <v>High Price</v>
      </c>
      <c r="H2" s="19" t="str">
        <f>LEFT(Product_data[[#This Row],[Product ID]],"2")</f>
        <v>28</v>
      </c>
      <c r="I2" s="13" t="str">
        <f>RIGHT(Product_data[[#This Row],[Product ID]],"2")</f>
        <v>US</v>
      </c>
      <c r="J2" s="13" t="str">
        <f>MID(Product_data[[#This Row],[Product ID]],4,3)</f>
        <v>JAN</v>
      </c>
    </row>
    <row r="3" spans="1:10" x14ac:dyDescent="0.25">
      <c r="A3" s="4" t="s">
        <v>10</v>
      </c>
      <c r="B3" s="2" t="s">
        <v>11</v>
      </c>
      <c r="C3" s="2" t="s">
        <v>12</v>
      </c>
      <c r="D3" s="2">
        <v>80</v>
      </c>
      <c r="E3" s="2">
        <v>15</v>
      </c>
      <c r="F3" s="6" t="s">
        <v>13</v>
      </c>
      <c r="G3" s="13" t="str">
        <f>IF(Product_data[[#This Row],[Price ($)]]&gt;=500,"High Price","Standard Price")</f>
        <v>Standard Price</v>
      </c>
      <c r="H3" s="20" t="str">
        <f>LEFT(Product_data[[#This Row],[Product ID]],"2")</f>
        <v>15</v>
      </c>
      <c r="I3" s="13" t="str">
        <f>RIGHT(Product_data[[#This Row],[Product ID]],"2")</f>
        <v>US</v>
      </c>
      <c r="J3" s="13" t="str">
        <f>MID(Product_data[[#This Row],[Product ID]],4,3)</f>
        <v>FEB</v>
      </c>
    </row>
    <row r="4" spans="1:10" x14ac:dyDescent="0.25">
      <c r="A4" s="3" t="s">
        <v>14</v>
      </c>
      <c r="B4" s="1" t="s">
        <v>15</v>
      </c>
      <c r="C4" s="1" t="s">
        <v>16</v>
      </c>
      <c r="D4" s="1">
        <v>130</v>
      </c>
      <c r="E4" s="1">
        <v>40</v>
      </c>
      <c r="F4" s="5" t="s">
        <v>17</v>
      </c>
      <c r="G4" s="13" t="str">
        <f>IF(Product_data[[#This Row],[Price ($)]]&gt;=500,"High Price","Standard Price")</f>
        <v>Standard Price</v>
      </c>
      <c r="H4" s="20" t="str">
        <f>LEFT(Product_data[[#This Row],[Product ID]],"2")</f>
        <v>03</v>
      </c>
      <c r="I4" s="13" t="str">
        <f>RIGHT(Product_data[[#This Row],[Product ID]],"2")</f>
        <v>US</v>
      </c>
      <c r="J4" s="13" t="str">
        <f>MID(Product_data[[#This Row],[Product ID]],4,3)</f>
        <v>MAR</v>
      </c>
    </row>
    <row r="5" spans="1:10" x14ac:dyDescent="0.25">
      <c r="A5" s="4" t="s">
        <v>18</v>
      </c>
      <c r="B5" s="2" t="s">
        <v>19</v>
      </c>
      <c r="C5" s="2" t="s">
        <v>20</v>
      </c>
      <c r="D5" s="2">
        <v>900</v>
      </c>
      <c r="E5" s="2">
        <v>25</v>
      </c>
      <c r="F5" s="6" t="s">
        <v>9</v>
      </c>
      <c r="G5" s="13" t="str">
        <f>IF(Product_data[[#This Row],[Price ($)]]&gt;=500,"High Price","Standard Price")</f>
        <v>High Price</v>
      </c>
      <c r="H5" s="20" t="str">
        <f>LEFT(Product_data[[#This Row],[Product ID]],"2")</f>
        <v>11</v>
      </c>
      <c r="I5" s="13" t="str">
        <f>RIGHT(Product_data[[#This Row],[Product ID]],"2")</f>
        <v>US</v>
      </c>
      <c r="J5" s="13" t="str">
        <f>MID(Product_data[[#This Row],[Product ID]],4,3)</f>
        <v>APR</v>
      </c>
    </row>
    <row r="6" spans="1:10" x14ac:dyDescent="0.25">
      <c r="A6" s="3" t="s">
        <v>21</v>
      </c>
      <c r="B6" s="1" t="s">
        <v>22</v>
      </c>
      <c r="C6" s="1" t="s">
        <v>23</v>
      </c>
      <c r="D6" s="1">
        <v>70</v>
      </c>
      <c r="E6" s="1">
        <v>20</v>
      </c>
      <c r="F6" s="5" t="s">
        <v>24</v>
      </c>
      <c r="G6" s="13" t="str">
        <f>IF(Product_data[[#This Row],[Price ($)]]&gt;=500,"High Price","Standard Price")</f>
        <v>Standard Price</v>
      </c>
      <c r="H6" s="20" t="str">
        <f>LEFT(Product_data[[#This Row],[Product ID]],"2")</f>
        <v>22</v>
      </c>
      <c r="I6" s="13" t="str">
        <f>RIGHT(Product_data[[#This Row],[Product ID]],"2")</f>
        <v>US</v>
      </c>
      <c r="J6" s="13" t="str">
        <f>MID(Product_data[[#This Row],[Product ID]],4,3)</f>
        <v>MAY</v>
      </c>
    </row>
    <row r="7" spans="1:10" x14ac:dyDescent="0.25">
      <c r="A7" s="4" t="s">
        <v>25</v>
      </c>
      <c r="B7" s="2" t="s">
        <v>26</v>
      </c>
      <c r="C7" s="2" t="s">
        <v>27</v>
      </c>
      <c r="D7" s="2">
        <v>200</v>
      </c>
      <c r="E7" s="2">
        <v>45</v>
      </c>
      <c r="F7" s="6" t="s">
        <v>9</v>
      </c>
      <c r="G7" s="13" t="str">
        <f>IF(Product_data[[#This Row],[Price ($)]]&gt;=500,"High Price","Standard Price")</f>
        <v>Standard Price</v>
      </c>
      <c r="H7" s="20" t="str">
        <f>LEFT(Product_data[[#This Row],[Product ID]],"2")</f>
        <v>07</v>
      </c>
      <c r="I7" s="13" t="str">
        <f>RIGHT(Product_data[[#This Row],[Product ID]],"2")</f>
        <v>UK</v>
      </c>
      <c r="J7" s="13" t="str">
        <f>MID(Product_data[[#This Row],[Product ID]],4,3)</f>
        <v>JUN</v>
      </c>
    </row>
    <row r="8" spans="1:10" x14ac:dyDescent="0.25">
      <c r="A8" s="3" t="s">
        <v>28</v>
      </c>
      <c r="B8" s="1" t="s">
        <v>29</v>
      </c>
      <c r="C8" s="1" t="s">
        <v>30</v>
      </c>
      <c r="D8" s="1">
        <v>30</v>
      </c>
      <c r="E8" s="1">
        <v>5</v>
      </c>
      <c r="F8" s="5" t="s">
        <v>13</v>
      </c>
      <c r="G8" s="13" t="str">
        <f>IF(Product_data[[#This Row],[Price ($)]]&gt;=500,"High Price","Standard Price")</f>
        <v>Standard Price</v>
      </c>
      <c r="H8" s="20" t="str">
        <f>LEFT(Product_data[[#This Row],[Product ID]],"2")</f>
        <v>19</v>
      </c>
      <c r="I8" s="13" t="str">
        <f>RIGHT(Product_data[[#This Row],[Product ID]],"2")</f>
        <v>UK</v>
      </c>
      <c r="J8" s="13" t="str">
        <f>MID(Product_data[[#This Row],[Product ID]],4,3)</f>
        <v>JUL</v>
      </c>
    </row>
    <row r="9" spans="1:10" x14ac:dyDescent="0.25">
      <c r="A9" s="4" t="s">
        <v>31</v>
      </c>
      <c r="B9" s="2" t="s">
        <v>32</v>
      </c>
      <c r="C9" s="2" t="s">
        <v>33</v>
      </c>
      <c r="D9" s="2">
        <v>90</v>
      </c>
      <c r="E9" s="2">
        <v>35</v>
      </c>
      <c r="F9" s="6" t="s">
        <v>17</v>
      </c>
      <c r="G9" s="13" t="str">
        <f>IF(Product_data[[#This Row],[Price ($)]]&gt;=500,"High Price","Standard Price")</f>
        <v>Standard Price</v>
      </c>
      <c r="H9" s="20" t="str">
        <f>LEFT(Product_data[[#This Row],[Product ID]],"2")</f>
        <v>23</v>
      </c>
      <c r="I9" s="13" t="str">
        <f>RIGHT(Product_data[[#This Row],[Product ID]],"2")</f>
        <v>UK</v>
      </c>
      <c r="J9" s="13" t="str">
        <f>MID(Product_data[[#This Row],[Product ID]],4,3)</f>
        <v>AUG</v>
      </c>
    </row>
    <row r="10" spans="1:10" x14ac:dyDescent="0.25">
      <c r="A10" s="3" t="s">
        <v>34</v>
      </c>
      <c r="B10" s="1" t="s">
        <v>35</v>
      </c>
      <c r="C10" s="1" t="s">
        <v>36</v>
      </c>
      <c r="D10" s="1">
        <v>500</v>
      </c>
      <c r="E10" s="1">
        <v>50</v>
      </c>
      <c r="F10" s="5" t="s">
        <v>9</v>
      </c>
      <c r="G10" s="13" t="str">
        <f>IF(Product_data[[#This Row],[Price ($)]]&gt;=500,"High Price","Standard Price")</f>
        <v>High Price</v>
      </c>
      <c r="H10" s="20" t="str">
        <f>LEFT(Product_data[[#This Row],[Product ID]],"2")</f>
        <v>05</v>
      </c>
      <c r="I10" s="13" t="str">
        <f>RIGHT(Product_data[[#This Row],[Product ID]],"2")</f>
        <v>UK</v>
      </c>
      <c r="J10" s="13" t="str">
        <f>MID(Product_data[[#This Row],[Product ID]],4,3)</f>
        <v>SEP</v>
      </c>
    </row>
    <row r="11" spans="1:10" x14ac:dyDescent="0.25">
      <c r="A11" s="4" t="s">
        <v>37</v>
      </c>
      <c r="B11" s="2" t="s">
        <v>38</v>
      </c>
      <c r="C11" s="2" t="s">
        <v>39</v>
      </c>
      <c r="D11" s="2">
        <v>130</v>
      </c>
      <c r="E11" s="2">
        <v>10</v>
      </c>
      <c r="F11" s="6" t="s">
        <v>24</v>
      </c>
      <c r="G11" s="13" t="str">
        <f>IF(Product_data[[#This Row],[Price ($)]]&gt;=500,"High Price","Standard Price")</f>
        <v>Standard Price</v>
      </c>
      <c r="H11" s="20" t="str">
        <f>LEFT(Product_data[[#This Row],[Product ID]],"2")</f>
        <v>14</v>
      </c>
      <c r="I11" s="13" t="str">
        <f>RIGHT(Product_data[[#This Row],[Product ID]],"2")</f>
        <v>UK</v>
      </c>
      <c r="J11" s="13" t="str">
        <f>MID(Product_data[[#This Row],[Product ID]],4,3)</f>
        <v>OCT</v>
      </c>
    </row>
    <row r="12" spans="1:10" x14ac:dyDescent="0.25">
      <c r="A12" s="3" t="s">
        <v>40</v>
      </c>
      <c r="B12" s="1" t="s">
        <v>7</v>
      </c>
      <c r="C12" s="1" t="s">
        <v>41</v>
      </c>
      <c r="D12" s="1">
        <v>950</v>
      </c>
      <c r="E12" s="1">
        <v>25</v>
      </c>
      <c r="F12" s="5" t="s">
        <v>9</v>
      </c>
      <c r="G12" s="13" t="str">
        <f>IF(Product_data[[#This Row],[Price ($)]]&gt;=500,"High Price","Standard Price")</f>
        <v>High Price</v>
      </c>
      <c r="H12" s="20" t="str">
        <f>LEFT(Product_data[[#This Row],[Product ID]],"2")</f>
        <v>17</v>
      </c>
      <c r="I12" s="13" t="str">
        <f>RIGHT(Product_data[[#This Row],[Product ID]],"2")</f>
        <v>IN</v>
      </c>
      <c r="J12" s="13" t="str">
        <f>MID(Product_data[[#This Row],[Product ID]],4,3)</f>
        <v>JUN</v>
      </c>
    </row>
    <row r="13" spans="1:10" x14ac:dyDescent="0.25">
      <c r="A13" s="4" t="s">
        <v>42</v>
      </c>
      <c r="B13" s="2" t="s">
        <v>11</v>
      </c>
      <c r="C13" s="2" t="s">
        <v>30</v>
      </c>
      <c r="D13" s="2">
        <v>90</v>
      </c>
      <c r="E13" s="2">
        <v>40</v>
      </c>
      <c r="F13" s="6" t="s">
        <v>13</v>
      </c>
      <c r="G13" s="13" t="str">
        <f>IF(Product_data[[#This Row],[Price ($)]]&gt;=500,"High Price","Standard Price")</f>
        <v>Standard Price</v>
      </c>
      <c r="H13" s="20" t="str">
        <f>LEFT(Product_data[[#This Row],[Product ID]],"2")</f>
        <v>25</v>
      </c>
      <c r="I13" s="13" t="str">
        <f>RIGHT(Product_data[[#This Row],[Product ID]],"2")</f>
        <v>AU</v>
      </c>
      <c r="J13" s="13" t="str">
        <f>MID(Product_data[[#This Row],[Product ID]],4,3)</f>
        <v>NOV</v>
      </c>
    </row>
    <row r="14" spans="1:10" x14ac:dyDescent="0.25">
      <c r="A14" s="3" t="s">
        <v>43</v>
      </c>
      <c r="B14" s="1" t="s">
        <v>15</v>
      </c>
      <c r="C14" s="1" t="s">
        <v>44</v>
      </c>
      <c r="D14" s="1">
        <v>120</v>
      </c>
      <c r="E14" s="1">
        <v>35</v>
      </c>
      <c r="F14" s="5" t="s">
        <v>17</v>
      </c>
      <c r="G14" s="13" t="str">
        <f>IF(Product_data[[#This Row],[Price ($)]]&gt;=500,"High Price","Standard Price")</f>
        <v>Standard Price</v>
      </c>
      <c r="H14" s="20" t="str">
        <f>LEFT(Product_data[[#This Row],[Product ID]],"2")</f>
        <v>08</v>
      </c>
      <c r="I14" s="13" t="str">
        <f>RIGHT(Product_data[[#This Row],[Product ID]],"2")</f>
        <v>DE</v>
      </c>
      <c r="J14" s="13" t="str">
        <f>MID(Product_data[[#This Row],[Product ID]],4,3)</f>
        <v>DEC</v>
      </c>
    </row>
    <row r="15" spans="1:10" x14ac:dyDescent="0.25">
      <c r="A15" s="4" t="s">
        <v>45</v>
      </c>
      <c r="B15" s="2" t="s">
        <v>46</v>
      </c>
      <c r="C15" s="2" t="s">
        <v>47</v>
      </c>
      <c r="D15" s="2">
        <v>150</v>
      </c>
      <c r="E15" s="2">
        <v>15</v>
      </c>
      <c r="F15" s="6" t="s">
        <v>9</v>
      </c>
      <c r="G15" s="13" t="str">
        <f>IF(Product_data[[#This Row],[Price ($)]]&gt;=500,"High Price","Standard Price")</f>
        <v>Standard Price</v>
      </c>
      <c r="H15" s="20" t="str">
        <f>LEFT(Product_data[[#This Row],[Product ID]],"2")</f>
        <v>18</v>
      </c>
      <c r="I15" s="13" t="str">
        <f>RIGHT(Product_data[[#This Row],[Product ID]],"2")</f>
        <v>CA</v>
      </c>
      <c r="J15" s="13" t="str">
        <f>MID(Product_data[[#This Row],[Product ID]],4,3)</f>
        <v>FEB</v>
      </c>
    </row>
    <row r="16" spans="1:10" x14ac:dyDescent="0.25">
      <c r="A16" s="3" t="s">
        <v>48</v>
      </c>
      <c r="B16" s="1" t="s">
        <v>26</v>
      </c>
      <c r="C16" s="1" t="s">
        <v>49</v>
      </c>
      <c r="D16" s="1">
        <v>250</v>
      </c>
      <c r="E16" s="1">
        <v>20</v>
      </c>
      <c r="F16" s="5" t="s">
        <v>9</v>
      </c>
      <c r="G16" s="13" t="str">
        <f>IF(Product_data[[#This Row],[Price ($)]]&gt;=500,"High Price","Standard Price")</f>
        <v>Standard Price</v>
      </c>
      <c r="H16" s="20" t="str">
        <f>LEFT(Product_data[[#This Row],[Product ID]],"2")</f>
        <v>16</v>
      </c>
      <c r="I16" s="13" t="str">
        <f>RIGHT(Product_data[[#This Row],[Product ID]],"2")</f>
        <v>ES</v>
      </c>
      <c r="J16" s="13" t="str">
        <f>MID(Product_data[[#This Row],[Product ID]],4,3)</f>
        <v>APR</v>
      </c>
    </row>
    <row r="17" spans="1:10" x14ac:dyDescent="0.25">
      <c r="A17" s="4" t="s">
        <v>50</v>
      </c>
      <c r="B17" s="2" t="s">
        <v>51</v>
      </c>
      <c r="C17" s="2" t="s">
        <v>52</v>
      </c>
      <c r="D17" s="2">
        <v>50</v>
      </c>
      <c r="E17" s="2">
        <v>35</v>
      </c>
      <c r="F17" s="6" t="s">
        <v>53</v>
      </c>
      <c r="G17" s="13" t="str">
        <f>IF(Product_data[[#This Row],[Price ($)]]&gt;=500,"High Price","Standard Price")</f>
        <v>Standard Price</v>
      </c>
      <c r="H17" s="20" t="str">
        <f>LEFT(Product_data[[#This Row],[Product ID]],"2")</f>
        <v>21</v>
      </c>
      <c r="I17" s="13" t="str">
        <f>RIGHT(Product_data[[#This Row],[Product ID]],"2")</f>
        <v>CA</v>
      </c>
      <c r="J17" s="13" t="str">
        <f>MID(Product_data[[#This Row],[Product ID]],4,3)</f>
        <v>AUG</v>
      </c>
    </row>
    <row r="18" spans="1:10" x14ac:dyDescent="0.25">
      <c r="A18" s="3" t="s">
        <v>54</v>
      </c>
      <c r="B18" s="1" t="s">
        <v>46</v>
      </c>
      <c r="C18" s="1" t="s">
        <v>55</v>
      </c>
      <c r="D18" s="1">
        <v>160</v>
      </c>
      <c r="E18" s="1">
        <v>15</v>
      </c>
      <c r="F18" s="5" t="s">
        <v>9</v>
      </c>
      <c r="G18" s="13" t="str">
        <f>IF(Product_data[[#This Row],[Price ($)]]&gt;=500,"High Price","Standard Price")</f>
        <v>Standard Price</v>
      </c>
      <c r="H18" s="20" t="str">
        <f>LEFT(Product_data[[#This Row],[Product ID]],"2")</f>
        <v>20</v>
      </c>
      <c r="I18" s="13" t="str">
        <f>RIGHT(Product_data[[#This Row],[Product ID]],"2")</f>
        <v>CN</v>
      </c>
      <c r="J18" s="13" t="str">
        <f>MID(Product_data[[#This Row],[Product ID]],4,3)</f>
        <v>AUG</v>
      </c>
    </row>
    <row r="19" spans="1:10" x14ac:dyDescent="0.25">
      <c r="A19" s="4" t="s">
        <v>56</v>
      </c>
      <c r="B19" s="2" t="s">
        <v>7</v>
      </c>
      <c r="C19" s="2" t="s">
        <v>57</v>
      </c>
      <c r="D19" s="2">
        <v>980</v>
      </c>
      <c r="E19" s="2">
        <v>10</v>
      </c>
      <c r="F19" s="6" t="s">
        <v>9</v>
      </c>
      <c r="G19" s="13" t="str">
        <f>IF(Product_data[[#This Row],[Price ($)]]&gt;=500,"High Price","Standard Price")</f>
        <v>High Price</v>
      </c>
      <c r="H19" s="20" t="str">
        <f>LEFT(Product_data[[#This Row],[Product ID]],"2")</f>
        <v>27</v>
      </c>
      <c r="I19" s="13" t="str">
        <f>RIGHT(Product_data[[#This Row],[Product ID]],"2")</f>
        <v>IT</v>
      </c>
      <c r="J19" s="13" t="str">
        <f>MID(Product_data[[#This Row],[Product ID]],4,3)</f>
        <v>JAN</v>
      </c>
    </row>
    <row r="20" spans="1:10" x14ac:dyDescent="0.25">
      <c r="A20" s="3" t="s">
        <v>58</v>
      </c>
      <c r="B20" s="1" t="s">
        <v>59</v>
      </c>
      <c r="C20" s="1" t="s">
        <v>60</v>
      </c>
      <c r="D20" s="1">
        <v>150</v>
      </c>
      <c r="E20" s="1">
        <v>15</v>
      </c>
      <c r="F20" s="5" t="s">
        <v>13</v>
      </c>
      <c r="G20" s="13" t="str">
        <f>IF(Product_data[[#This Row],[Price ($)]]&gt;=500,"High Price","Standard Price")</f>
        <v>Standard Price</v>
      </c>
      <c r="H20" s="20" t="str">
        <f>LEFT(Product_data[[#This Row],[Product ID]],"2")</f>
        <v>01</v>
      </c>
      <c r="I20" s="13" t="str">
        <f>RIGHT(Product_data[[#This Row],[Product ID]],"2")</f>
        <v>UK</v>
      </c>
      <c r="J20" s="13" t="str">
        <f>MID(Product_data[[#This Row],[Product ID]],4,3)</f>
        <v>MAR</v>
      </c>
    </row>
    <row r="21" spans="1:10" x14ac:dyDescent="0.25">
      <c r="A21" s="4" t="s">
        <v>61</v>
      </c>
      <c r="B21" s="2" t="s">
        <v>62</v>
      </c>
      <c r="C21" s="2" t="s">
        <v>63</v>
      </c>
      <c r="D21" s="2">
        <v>200</v>
      </c>
      <c r="E21" s="2">
        <v>10</v>
      </c>
      <c r="F21" s="6" t="s">
        <v>24</v>
      </c>
      <c r="G21" s="13" t="str">
        <f>IF(Product_data[[#This Row],[Price ($)]]&gt;=500,"High Price","Standard Price")</f>
        <v>Standard Price</v>
      </c>
      <c r="H21" s="20" t="str">
        <f>LEFT(Product_data[[#This Row],[Product ID]],"2")</f>
        <v>14</v>
      </c>
      <c r="I21" s="13" t="str">
        <f>RIGHT(Product_data[[#This Row],[Product ID]],"2")</f>
        <v>US</v>
      </c>
      <c r="J21" s="13" t="str">
        <f>MID(Product_data[[#This Row],[Product ID]],4,3)</f>
        <v>AUG</v>
      </c>
    </row>
    <row r="22" spans="1:10" x14ac:dyDescent="0.25">
      <c r="A22" s="3" t="s">
        <v>64</v>
      </c>
      <c r="B22" s="1" t="s">
        <v>65</v>
      </c>
      <c r="C22" s="1" t="s">
        <v>66</v>
      </c>
      <c r="D22" s="1">
        <v>700</v>
      </c>
      <c r="E22" s="1">
        <v>50</v>
      </c>
      <c r="F22" s="5" t="s">
        <v>9</v>
      </c>
      <c r="G22" s="13" t="str">
        <f>IF(Product_data[[#This Row],[Price ($)]]&gt;=500,"High Price","Standard Price")</f>
        <v>High Price</v>
      </c>
      <c r="H22" s="20" t="str">
        <f>LEFT(Product_data[[#This Row],[Product ID]],"2")</f>
        <v>14</v>
      </c>
      <c r="I22" s="13" t="str">
        <f>RIGHT(Product_data[[#This Row],[Product ID]],"2")</f>
        <v>RU</v>
      </c>
      <c r="J22" s="13" t="str">
        <f>MID(Product_data[[#This Row],[Product ID]],4,3)</f>
        <v>MAY</v>
      </c>
    </row>
    <row r="23" spans="1:10" x14ac:dyDescent="0.25">
      <c r="A23" s="4" t="s">
        <v>67</v>
      </c>
      <c r="B23" s="2" t="s">
        <v>68</v>
      </c>
      <c r="C23" s="2" t="s">
        <v>69</v>
      </c>
      <c r="D23" s="2">
        <v>80</v>
      </c>
      <c r="E23" s="2">
        <v>20</v>
      </c>
      <c r="F23" s="6" t="s">
        <v>17</v>
      </c>
      <c r="G23" s="13" t="str">
        <f>IF(Product_data[[#This Row],[Price ($)]]&gt;=500,"High Price","Standard Price")</f>
        <v>Standard Price</v>
      </c>
      <c r="H23" s="20" t="str">
        <f>LEFT(Product_data[[#This Row],[Product ID]],"2")</f>
        <v>09</v>
      </c>
      <c r="I23" s="13" t="str">
        <f>RIGHT(Product_data[[#This Row],[Product ID]],"2")</f>
        <v>CA</v>
      </c>
      <c r="J23" s="13" t="str">
        <f>MID(Product_data[[#This Row],[Product ID]],4,3)</f>
        <v>JAN</v>
      </c>
    </row>
    <row r="24" spans="1:10" x14ac:dyDescent="0.25">
      <c r="A24" s="3" t="s">
        <v>70</v>
      </c>
      <c r="B24" s="1" t="s">
        <v>71</v>
      </c>
      <c r="C24" s="1" t="s">
        <v>72</v>
      </c>
      <c r="D24" s="1">
        <v>150</v>
      </c>
      <c r="E24" s="1">
        <v>30</v>
      </c>
      <c r="F24" s="5" t="s">
        <v>9</v>
      </c>
      <c r="G24" s="13" t="str">
        <f>IF(Product_data[[#This Row],[Price ($)]]&gt;=500,"High Price","Standard Price")</f>
        <v>Standard Price</v>
      </c>
      <c r="H24" s="20" t="str">
        <f>LEFT(Product_data[[#This Row],[Product ID]],"2")</f>
        <v>19</v>
      </c>
      <c r="I24" s="13" t="str">
        <f>RIGHT(Product_data[[#This Row],[Product ID]],"2")</f>
        <v>BR</v>
      </c>
      <c r="J24" s="13" t="str">
        <f>MID(Product_data[[#This Row],[Product ID]],4,3)</f>
        <v>JUL</v>
      </c>
    </row>
    <row r="25" spans="1:10" x14ac:dyDescent="0.25">
      <c r="A25" s="4" t="s">
        <v>50</v>
      </c>
      <c r="B25" s="2" t="s">
        <v>51</v>
      </c>
      <c r="C25" s="2" t="s">
        <v>52</v>
      </c>
      <c r="D25" s="2">
        <v>50</v>
      </c>
      <c r="E25" s="2">
        <v>35</v>
      </c>
      <c r="F25" s="6" t="s">
        <v>53</v>
      </c>
      <c r="G25" s="13" t="str">
        <f>IF(Product_data[[#This Row],[Price ($)]]&gt;=500,"High Price","Standard Price")</f>
        <v>Standard Price</v>
      </c>
      <c r="H25" s="20" t="str">
        <f>LEFT(Product_data[[#This Row],[Product ID]],"2")</f>
        <v>21</v>
      </c>
      <c r="I25" s="13" t="str">
        <f>RIGHT(Product_data[[#This Row],[Product ID]],"2")</f>
        <v>CA</v>
      </c>
      <c r="J25" s="13" t="str">
        <f>MID(Product_data[[#This Row],[Product ID]],4,3)</f>
        <v>AUG</v>
      </c>
    </row>
    <row r="26" spans="1:10" x14ac:dyDescent="0.25">
      <c r="A26" s="3" t="s">
        <v>73</v>
      </c>
      <c r="B26" s="1" t="s">
        <v>19</v>
      </c>
      <c r="C26" s="1" t="s">
        <v>74</v>
      </c>
      <c r="D26" s="1">
        <v>800</v>
      </c>
      <c r="E26" s="1">
        <v>45</v>
      </c>
      <c r="F26" s="5" t="s">
        <v>9</v>
      </c>
      <c r="G26" s="13" t="str">
        <f>IF(Product_data[[#This Row],[Price ($)]]&gt;=500,"High Price","Standard Price")</f>
        <v>High Price</v>
      </c>
      <c r="H26" s="20" t="str">
        <f>LEFT(Product_data[[#This Row],[Product ID]],"2")</f>
        <v>29</v>
      </c>
      <c r="I26" s="13" t="str">
        <f>RIGHT(Product_data[[#This Row],[Product ID]],"2")</f>
        <v>CA</v>
      </c>
      <c r="J26" s="13" t="str">
        <f>MID(Product_data[[#This Row],[Product ID]],4,3)</f>
        <v>SEP</v>
      </c>
    </row>
    <row r="27" spans="1:10" x14ac:dyDescent="0.25">
      <c r="A27" s="4" t="s">
        <v>75</v>
      </c>
      <c r="B27" s="2" t="s">
        <v>59</v>
      </c>
      <c r="C27" s="2" t="s">
        <v>76</v>
      </c>
      <c r="D27" s="2">
        <v>130</v>
      </c>
      <c r="E27" s="2">
        <v>25</v>
      </c>
      <c r="F27" s="6" t="s">
        <v>13</v>
      </c>
      <c r="G27" s="13" t="str">
        <f>IF(Product_data[[#This Row],[Price ($)]]&gt;=500,"High Price","Standard Price")</f>
        <v>Standard Price</v>
      </c>
      <c r="H27" s="20" t="str">
        <f>LEFT(Product_data[[#This Row],[Product ID]],"2")</f>
        <v>03</v>
      </c>
      <c r="I27" s="13" t="str">
        <f>RIGHT(Product_data[[#This Row],[Product ID]],"2")</f>
        <v>CA</v>
      </c>
      <c r="J27" s="13" t="str">
        <f>MID(Product_data[[#This Row],[Product ID]],4,3)</f>
        <v>JUN</v>
      </c>
    </row>
    <row r="28" spans="1:10" x14ac:dyDescent="0.25">
      <c r="A28" s="3" t="s">
        <v>77</v>
      </c>
      <c r="B28" s="1" t="s">
        <v>32</v>
      </c>
      <c r="C28" s="1" t="s">
        <v>78</v>
      </c>
      <c r="D28" s="1">
        <v>400</v>
      </c>
      <c r="E28" s="1">
        <v>40</v>
      </c>
      <c r="F28" s="5" t="s">
        <v>17</v>
      </c>
      <c r="G28" s="13" t="str">
        <f>IF(Product_data[[#This Row],[Price ($)]]&gt;=500,"High Price","Standard Price")</f>
        <v>Standard Price</v>
      </c>
      <c r="H28" s="20" t="str">
        <f>LEFT(Product_data[[#This Row],[Product ID]],"2")</f>
        <v>11</v>
      </c>
      <c r="I28" s="13" t="str">
        <f>RIGHT(Product_data[[#This Row],[Product ID]],"2")</f>
        <v>CA</v>
      </c>
      <c r="J28" s="13" t="str">
        <f>MID(Product_data[[#This Row],[Product ID]],4,3)</f>
        <v>JUL</v>
      </c>
    </row>
    <row r="29" spans="1:10" x14ac:dyDescent="0.25">
      <c r="A29" s="4" t="s">
        <v>48</v>
      </c>
      <c r="B29" s="2" t="s">
        <v>26</v>
      </c>
      <c r="C29" s="2" t="s">
        <v>49</v>
      </c>
      <c r="D29" s="2">
        <v>230</v>
      </c>
      <c r="E29" s="2">
        <v>20</v>
      </c>
      <c r="F29" s="6" t="s">
        <v>9</v>
      </c>
      <c r="G29" s="13" t="str">
        <f>IF(Product_data[[#This Row],[Price ($)]]&gt;=500,"High Price","Standard Price")</f>
        <v>Standard Price</v>
      </c>
      <c r="H29" s="20" t="str">
        <f>LEFT(Product_data[[#This Row],[Product ID]],"2")</f>
        <v>16</v>
      </c>
      <c r="I29" s="13" t="str">
        <f>RIGHT(Product_data[[#This Row],[Product ID]],"2")</f>
        <v>ES</v>
      </c>
      <c r="J29" s="13" t="str">
        <f>MID(Product_data[[#This Row],[Product ID]],4,3)</f>
        <v>APR</v>
      </c>
    </row>
    <row r="30" spans="1:10" x14ac:dyDescent="0.25">
      <c r="A30" s="3" t="s">
        <v>79</v>
      </c>
      <c r="B30" s="1" t="s">
        <v>80</v>
      </c>
      <c r="C30" s="1" t="s">
        <v>81</v>
      </c>
      <c r="D30" s="1">
        <v>60</v>
      </c>
      <c r="E30" s="1">
        <v>30</v>
      </c>
      <c r="F30" s="5" t="s">
        <v>13</v>
      </c>
      <c r="G30" s="13" t="str">
        <f>IF(Product_data[[#This Row],[Price ($)]]&gt;=500,"High Price","Standard Price")</f>
        <v>Standard Price</v>
      </c>
      <c r="H30" s="20" t="str">
        <f>LEFT(Product_data[[#This Row],[Product ID]],"2")</f>
        <v>07</v>
      </c>
      <c r="I30" s="13" t="str">
        <f>RIGHT(Product_data[[#This Row],[Product ID]],"2")</f>
        <v>CA</v>
      </c>
      <c r="J30" s="13" t="str">
        <f>MID(Product_data[[#This Row],[Product ID]],4,3)</f>
        <v>MAR</v>
      </c>
    </row>
    <row r="31" spans="1:10" x14ac:dyDescent="0.25">
      <c r="A31" s="4" t="s">
        <v>82</v>
      </c>
      <c r="B31" s="2" t="s">
        <v>83</v>
      </c>
      <c r="C31" s="2" t="s">
        <v>84</v>
      </c>
      <c r="D31" s="2">
        <v>40</v>
      </c>
      <c r="E31" s="2">
        <v>10</v>
      </c>
      <c r="F31" s="6" t="s">
        <v>17</v>
      </c>
      <c r="G31" s="13" t="str">
        <f>IF(Product_data[[#This Row],[Price ($)]]&gt;=500,"High Price","Standard Price")</f>
        <v>Standard Price</v>
      </c>
      <c r="H31" s="20" t="str">
        <f>LEFT(Product_data[[#This Row],[Product ID]],"2")</f>
        <v>13</v>
      </c>
      <c r="I31" s="13" t="str">
        <f>RIGHT(Product_data[[#This Row],[Product ID]],"2")</f>
        <v>CA</v>
      </c>
      <c r="J31" s="13" t="str">
        <f>MID(Product_data[[#This Row],[Product ID]],4,3)</f>
        <v>APR</v>
      </c>
    </row>
    <row r="32" spans="1:10" x14ac:dyDescent="0.25">
      <c r="A32" s="3" t="s">
        <v>85</v>
      </c>
      <c r="B32" s="1" t="s">
        <v>71</v>
      </c>
      <c r="C32" s="1" t="s">
        <v>86</v>
      </c>
      <c r="D32" s="1">
        <v>130</v>
      </c>
      <c r="E32" s="1">
        <v>5</v>
      </c>
      <c r="F32" s="5" t="s">
        <v>9</v>
      </c>
      <c r="G32" s="13" t="str">
        <f>IF(Product_data[[#This Row],[Price ($)]]&gt;=500,"High Price","Standard Price")</f>
        <v>Standard Price</v>
      </c>
      <c r="H32" s="20" t="str">
        <f>LEFT(Product_data[[#This Row],[Product ID]],"2")</f>
        <v>24</v>
      </c>
      <c r="I32" s="13" t="str">
        <f>RIGHT(Product_data[[#This Row],[Product ID]],"2")</f>
        <v>CA</v>
      </c>
      <c r="J32" s="13" t="str">
        <f>MID(Product_data[[#This Row],[Product ID]],4,3)</f>
        <v>MAY</v>
      </c>
    </row>
    <row r="33" spans="1:10" x14ac:dyDescent="0.25">
      <c r="A33" s="4" t="s">
        <v>87</v>
      </c>
      <c r="B33" s="2" t="s">
        <v>88</v>
      </c>
      <c r="C33" s="2" t="s">
        <v>89</v>
      </c>
      <c r="D33" s="2">
        <v>50</v>
      </c>
      <c r="E33" s="2">
        <v>50</v>
      </c>
      <c r="F33" s="6" t="s">
        <v>13</v>
      </c>
      <c r="G33" s="13" t="str">
        <f>IF(Product_data[[#This Row],[Price ($)]]&gt;=500,"High Price","Standard Price")</f>
        <v>Standard Price</v>
      </c>
      <c r="H33" s="20" t="str">
        <f>LEFT(Product_data[[#This Row],[Product ID]],"2")</f>
        <v>02</v>
      </c>
      <c r="I33" s="13" t="str">
        <f>RIGHT(Product_data[[#This Row],[Product ID]],"2")</f>
        <v>CA</v>
      </c>
      <c r="J33" s="13" t="str">
        <f>MID(Product_data[[#This Row],[Product ID]],4,3)</f>
        <v>DEC</v>
      </c>
    </row>
    <row r="34" spans="1:10" x14ac:dyDescent="0.25">
      <c r="A34" s="3" t="s">
        <v>40</v>
      </c>
      <c r="B34" s="1" t="s">
        <v>7</v>
      </c>
      <c r="C34" s="1" t="s">
        <v>41</v>
      </c>
      <c r="D34" s="1">
        <v>950</v>
      </c>
      <c r="E34" s="1">
        <v>25</v>
      </c>
      <c r="F34" s="5" t="s">
        <v>9</v>
      </c>
      <c r="G34" s="13" t="str">
        <f>IF(Product_data[[#This Row],[Price ($)]]&gt;=500,"High Price","Standard Price")</f>
        <v>High Price</v>
      </c>
      <c r="H34" s="20" t="str">
        <f>LEFT(Product_data[[#This Row],[Product ID]],"2")</f>
        <v>17</v>
      </c>
      <c r="I34" s="13" t="str">
        <f>RIGHT(Product_data[[#This Row],[Product ID]],"2")</f>
        <v>IN</v>
      </c>
      <c r="J34" s="13" t="str">
        <f>MID(Product_data[[#This Row],[Product ID]],4,3)</f>
        <v>JUN</v>
      </c>
    </row>
    <row r="35" spans="1:10" x14ac:dyDescent="0.25">
      <c r="A35" s="10" t="s">
        <v>90</v>
      </c>
      <c r="B35" s="11" t="s">
        <v>91</v>
      </c>
      <c r="C35" s="11" t="s">
        <v>92</v>
      </c>
      <c r="D35" s="11">
        <v>100</v>
      </c>
      <c r="E35" s="11">
        <v>20</v>
      </c>
      <c r="F35" s="12" t="s">
        <v>53</v>
      </c>
      <c r="G35" s="14" t="str">
        <f>IF(Product_data[[#This Row],[Price ($)]]&gt;=500,"High Price","Standard Price")</f>
        <v>Standard Price</v>
      </c>
      <c r="H35" s="21" t="str">
        <f>LEFT(Product_data[[#This Row],[Product ID]],"2")</f>
        <v>09</v>
      </c>
      <c r="I35" s="14" t="str">
        <f>RIGHT(Product_data[[#This Row],[Product ID]],"2")</f>
        <v>FR</v>
      </c>
      <c r="J35" s="14" t="str">
        <f>MID(Product_data[[#This Row],[Product ID]],4,3)</f>
        <v>JUL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8F345-6458-484D-B794-2ABFCE4C4E9B}">
  <dimension ref="A1:G14"/>
  <sheetViews>
    <sheetView tabSelected="1" zoomScaleNormal="100" workbookViewId="0">
      <selection activeCell="H8" sqref="H8"/>
    </sheetView>
  </sheetViews>
  <sheetFormatPr defaultRowHeight="15" x14ac:dyDescent="0.25"/>
  <cols>
    <col min="1" max="1" width="4.85546875" customWidth="1"/>
    <col min="2" max="2" width="38.42578125" bestFit="1" customWidth="1"/>
    <col min="3" max="3" width="45.85546875" bestFit="1" customWidth="1"/>
    <col min="4" max="4" width="30.140625" style="25" bestFit="1" customWidth="1"/>
    <col min="7" max="7" width="8.7109375" style="28"/>
  </cols>
  <sheetData>
    <row r="1" spans="1:5" x14ac:dyDescent="0.25">
      <c r="A1" s="29" t="s">
        <v>121</v>
      </c>
      <c r="B1" s="30"/>
      <c r="C1" s="31"/>
      <c r="D1" s="22" t="s">
        <v>120</v>
      </c>
    </row>
    <row r="2" spans="1:5" x14ac:dyDescent="0.25">
      <c r="A2" s="29" t="s">
        <v>93</v>
      </c>
      <c r="B2" s="30"/>
      <c r="C2" s="31"/>
      <c r="D2" s="22"/>
    </row>
    <row r="3" spans="1:5" x14ac:dyDescent="0.25">
      <c r="A3" s="26">
        <v>1</v>
      </c>
      <c r="B3" s="22" t="s">
        <v>94</v>
      </c>
      <c r="C3" s="18"/>
      <c r="D3" s="24"/>
    </row>
    <row r="4" spans="1:5" x14ac:dyDescent="0.25">
      <c r="A4" s="26"/>
      <c r="B4" s="18" t="s">
        <v>95</v>
      </c>
      <c r="C4" s="18" t="s">
        <v>96</v>
      </c>
      <c r="D4" s="24">
        <f>SUM(Product_data[Price ($)])</f>
        <v>10100</v>
      </c>
      <c r="E4" s="27"/>
    </row>
    <row r="5" spans="1:5" x14ac:dyDescent="0.25">
      <c r="A5" s="26"/>
      <c r="B5" s="18" t="s">
        <v>97</v>
      </c>
      <c r="C5" s="18" t="s">
        <v>98</v>
      </c>
      <c r="D5" s="24">
        <f>COUNT(Product_data[Quantity])</f>
        <v>34</v>
      </c>
    </row>
    <row r="6" spans="1:5" x14ac:dyDescent="0.25">
      <c r="A6" s="26"/>
      <c r="B6" s="18" t="s">
        <v>99</v>
      </c>
      <c r="C6" s="18" t="s">
        <v>100</v>
      </c>
      <c r="D6" s="24">
        <f>AVERAGE(Product_data[Price ($)])</f>
        <v>297.05882352941177</v>
      </c>
    </row>
    <row r="7" spans="1:5" x14ac:dyDescent="0.25">
      <c r="A7" s="26">
        <v>2</v>
      </c>
      <c r="B7" s="22" t="s">
        <v>101</v>
      </c>
      <c r="C7" s="18" t="s">
        <v>102</v>
      </c>
      <c r="D7" s="24">
        <f>MIN(Product_data[Price ($)])</f>
        <v>30</v>
      </c>
    </row>
    <row r="8" spans="1:5" x14ac:dyDescent="0.25">
      <c r="A8" s="26"/>
      <c r="B8" s="18"/>
      <c r="C8" s="18" t="s">
        <v>103</v>
      </c>
      <c r="D8" s="24">
        <f>MAX(Product_data[Price ($)])</f>
        <v>1000</v>
      </c>
    </row>
    <row r="9" spans="1:5" ht="75.95" customHeight="1" x14ac:dyDescent="0.25">
      <c r="A9" s="26">
        <v>3</v>
      </c>
      <c r="B9" s="22" t="s">
        <v>104</v>
      </c>
      <c r="C9" s="23" t="s">
        <v>122</v>
      </c>
      <c r="D9" s="24" t="s">
        <v>106</v>
      </c>
    </row>
    <row r="10" spans="1:5" ht="35.450000000000003" customHeight="1" x14ac:dyDescent="0.25">
      <c r="A10" s="26">
        <v>4</v>
      </c>
      <c r="B10" s="22" t="s">
        <v>107</v>
      </c>
      <c r="C10" s="23" t="s">
        <v>108</v>
      </c>
      <c r="D10" s="24">
        <f>SUMIF(Product_data[Category],"Electronics",Product_data[Price ($)])</f>
        <v>8050</v>
      </c>
    </row>
    <row r="11" spans="1:5" ht="39.6" customHeight="1" x14ac:dyDescent="0.25">
      <c r="A11" s="26"/>
      <c r="B11" s="18"/>
      <c r="C11" s="23" t="s">
        <v>109</v>
      </c>
      <c r="D11" s="24">
        <f>COUNTIF(Product_data[Price ($)],"&lt;100")</f>
        <v>11</v>
      </c>
    </row>
    <row r="12" spans="1:5" ht="51.6" customHeight="1" x14ac:dyDescent="0.25">
      <c r="A12" s="26">
        <v>5</v>
      </c>
      <c r="B12" s="22" t="s">
        <v>110</v>
      </c>
      <c r="C12" s="23" t="s">
        <v>111</v>
      </c>
      <c r="D12" s="24" t="s">
        <v>113</v>
      </c>
    </row>
    <row r="13" spans="1:5" ht="55.5" customHeight="1" x14ac:dyDescent="0.25">
      <c r="A13" s="26"/>
      <c r="B13" s="18"/>
      <c r="C13" s="23" t="s">
        <v>114</v>
      </c>
      <c r="D13" s="24" t="s">
        <v>117</v>
      </c>
    </row>
    <row r="14" spans="1:5" ht="42.95" customHeight="1" x14ac:dyDescent="0.25">
      <c r="A14" s="26"/>
      <c r="B14" s="18"/>
      <c r="C14" s="23" t="s">
        <v>116</v>
      </c>
      <c r="D14" s="24" t="s">
        <v>118</v>
      </c>
    </row>
  </sheetData>
  <mergeCells count="2">
    <mergeCell ref="A1:C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Product_Dataset</vt:lpstr>
      <vt:lpstr>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Maathangi -</dc:creator>
  <cp:lastModifiedBy>Maathangi -</cp:lastModifiedBy>
  <dcterms:created xsi:type="dcterms:W3CDTF">2015-06-05T18:17:20Z</dcterms:created>
  <dcterms:modified xsi:type="dcterms:W3CDTF">2026-06-05T09:06:17Z</dcterms:modified>
</cp:coreProperties>
</file>